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uzdanielacedillo\Downloads\"/>
    </mc:Choice>
  </mc:AlternateContent>
  <xr:revisionPtr revIDLastSave="0" documentId="13_ncr:1_{9A95F545-63E8-43AB-AB78-FD6F2DC4373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atálogo de Productos" sheetId="1" r:id="rId1"/>
    <sheet name="Dashboard Resume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2" l="1"/>
  <c r="C17" i="2"/>
  <c r="B17" i="2"/>
  <c r="D16" i="2"/>
  <c r="C16" i="2"/>
  <c r="B16" i="2"/>
  <c r="D15" i="2"/>
  <c r="C15" i="2"/>
  <c r="B15" i="2"/>
  <c r="D14" i="2"/>
  <c r="C14" i="2"/>
  <c r="B14" i="2"/>
  <c r="D13" i="2"/>
  <c r="C13" i="2"/>
  <c r="B13" i="2"/>
  <c r="D12" i="2"/>
  <c r="C12" i="2"/>
  <c r="B12" i="2"/>
  <c r="D11" i="2"/>
  <c r="C11" i="2"/>
  <c r="B11" i="2"/>
  <c r="D10" i="2"/>
  <c r="C10" i="2"/>
  <c r="B10" i="2"/>
  <c r="D9" i="2"/>
  <c r="D18" i="2" s="1"/>
  <c r="C9" i="2"/>
  <c r="C18" i="2" s="1"/>
  <c r="B9" i="2"/>
  <c r="B18" i="2" s="1"/>
  <c r="E5" i="2"/>
  <c r="C5" i="2"/>
  <c r="A5" i="2"/>
  <c r="H57" i="1"/>
</calcChain>
</file>

<file path=xl/sharedStrings.xml><?xml version="1.0" encoding="utf-8"?>
<sst xmlns="http://schemas.openxmlformats.org/spreadsheetml/2006/main" count="396" uniqueCount="328">
  <si>
    <t>CATÁLOGO MAESTRO DE COMPONENTES Y PRODUCTOS ELECTRÓNICOS</t>
  </si>
  <si>
    <t>Lista oficial de inventario, referencias técnicas, precios unitarios en Moneda Nacional (MXN) y existencias en almacén.</t>
  </si>
  <si>
    <t>🆔 ID</t>
  </si>
  <si>
    <t>🖼️ Ref. Visual / Miniatura</t>
  </si>
  <si>
    <t>📦 Producto</t>
  </si>
  <si>
    <t>🗂️ Categoría</t>
  </si>
  <si>
    <t>🔢 Valor / Modelo</t>
  </si>
  <si>
    <t>🏷️ Marca</t>
  </si>
  <si>
    <t>💰 Precio (MXN)</t>
  </si>
  <si>
    <t>📊 Stock (Pzas)</t>
  </si>
  <si>
    <t>📝 Descripción</t>
  </si>
  <si>
    <t>AUD-001</t>
  </si>
  <si>
    <t>[Foto: Micrófono Condensador]</t>
  </si>
  <si>
    <t>Cápsula Micrófono Electret</t>
  </si>
  <si>
    <t>Audio</t>
  </si>
  <si>
    <t>9x7 mm / -42dB</t>
  </si>
  <si>
    <t>Steren</t>
  </si>
  <si>
    <t>Micrófono omnidireccional de condensador para circuitos de captura y amplificación.</t>
  </si>
  <si>
    <t>AUD-002</t>
  </si>
  <si>
    <t>[Foto: Módulo Amplificador]</t>
  </si>
  <si>
    <t>Módulo Amplificador de Audio Digital</t>
  </si>
  <si>
    <t>PAM8403 (3W+3W)</t>
  </si>
  <si>
    <t>Generic</t>
  </si>
  <si>
    <t>Mini amplificador estéreo clase D de alta eficiencia con alimentación de 5V DC.</t>
  </si>
  <si>
    <t>AUD-003</t>
  </si>
  <si>
    <t>[Foto: Jack 3.5mm PCB]</t>
  </si>
  <si>
    <t>Conector Hembra Jack 3.5mm</t>
  </si>
  <si>
    <t>PJ-320A (5 Pines)</t>
  </si>
  <si>
    <t>Amphenol</t>
  </si>
  <si>
    <t>Conector de audio estéreo para montaje superficial o PCB estándar.</t>
  </si>
  <si>
    <t>AUD-004</t>
  </si>
  <si>
    <t>[Foto: Bocina Miniatura]</t>
  </si>
  <si>
    <t>Bocina Miniatura / Altavoz</t>
  </si>
  <si>
    <t>8 Ohms 0.5W (40mm)</t>
  </si>
  <si>
    <t>Altavoz magnético de bajo perfil para intercomunicadores y proyectos IoT.</t>
  </si>
  <si>
    <t>AUD-005</t>
  </si>
  <si>
    <t>[Foto: Módulo Grabador ISD]</t>
  </si>
  <si>
    <t>Módulo Grabador y Reproductor de Voz</t>
  </si>
  <si>
    <t>ISD1820 c/ Bocina</t>
  </si>
  <si>
    <t>Keyes</t>
  </si>
  <si>
    <t>Módulo de grabación de audio de hasta 10 segundos con micrófono incorporado.</t>
  </si>
  <si>
    <t>AUD-006</t>
  </si>
  <si>
    <t>[Foto: Receptor BT Audio]</t>
  </si>
  <si>
    <t>Receptor de Audio Bluetooth 5.0</t>
  </si>
  <si>
    <t>XY-BT-Mini</t>
  </si>
  <si>
    <t>HiLetgo</t>
  </si>
  <si>
    <t>Módulo decodificador Bluetooth estéreo con salida jack 3.5mm y micro USB.</t>
  </si>
  <si>
    <t>CMP-001</t>
  </si>
  <si>
    <t>[Foto: Pasta Térmica]</t>
  </si>
  <si>
    <t>Pasta Térmica Disipadora</t>
  </si>
  <si>
    <t>Computación</t>
  </si>
  <si>
    <t>HY510 (Jeringa 10g)</t>
  </si>
  <si>
    <t>Halnziye</t>
  </si>
  <si>
    <t>Compuesto térmico de alta conductividad para CPU, GPU y disipadores de potencia.</t>
  </si>
  <si>
    <t>CMP-002</t>
  </si>
  <si>
    <t>[Foto: Convertidor USB UART]</t>
  </si>
  <si>
    <t>Módulo Conversor USB a Serial TTL</t>
  </si>
  <si>
    <t>CP2102 UART Bridge</t>
  </si>
  <si>
    <t>Silicon Labs</t>
  </si>
  <si>
    <t>Interfaz programadora y depuradora serial para microcontroladores y routers.</t>
  </si>
  <si>
    <t>CMP-003</t>
  </si>
  <si>
    <t>[Foto: Ventilador 12V 80mm]</t>
  </si>
  <si>
    <t>Ventilador Cooler de Gabinete</t>
  </si>
  <si>
    <t>80mm 12V 0.15A</t>
  </si>
  <si>
    <t>Cooler Master</t>
  </si>
  <si>
    <t>Ventilador sin escobillas (brushless) silencioso para ventilación de chasis/racks.</t>
  </si>
  <si>
    <t>CMP-004</t>
  </si>
  <si>
    <t>[Foto: Hub USB 3.0 PCB]</t>
  </si>
  <si>
    <t>Hub USB 3.0 de 4 Puertos</t>
  </si>
  <si>
    <t>VL817 QFN</t>
  </si>
  <si>
    <t>TP-Link</t>
  </si>
  <si>
    <t>Concentrador de datos USB 3.0 de alta velocidad con protección contra sobrecorriente.</t>
  </si>
  <si>
    <t>CMP-005</t>
  </si>
  <si>
    <t>[Foto: Adaptador NVMe PCIe]</t>
  </si>
  <si>
    <t>Adaptador SSD NVMe M.2 a PCIe 3.0</t>
  </si>
  <si>
    <t>M.2 NGFF x4 Adapter</t>
  </si>
  <si>
    <t>UGreen</t>
  </si>
  <si>
    <t>Tarjeta de expansión interna para tarjetas madre de escritorio con disipador de aluminio.</t>
  </si>
  <si>
    <t>HER-001</t>
  </si>
  <si>
    <t>[Foto: Cautín 60W]</t>
  </si>
  <si>
    <t>Cautín para Soldar de Temperatura Ajustable</t>
  </si>
  <si>
    <t>Herramientas</t>
  </si>
  <si>
    <t>60W (200°C - 450°C)</t>
  </si>
  <si>
    <t>Truper</t>
  </si>
  <si>
    <t>Soldador tipo lápiz con control rotativo cerámico para armado de PCBs.</t>
  </si>
  <si>
    <t>HER-002</t>
  </si>
  <si>
    <t>[Foto: Multímetro Digital]</t>
  </si>
  <si>
    <t>Multímetro Digital Autorango</t>
  </si>
  <si>
    <t>UT33D+ True RMS</t>
  </si>
  <si>
    <t>Uni-T</t>
  </si>
  <si>
    <t>Instrumento de medición de voltaje AC/DC, corriente, continuidad y resistencia.</t>
  </si>
  <si>
    <t>HER-003</t>
  </si>
  <si>
    <t>[Foto: Pinza Pelacables]</t>
  </si>
  <si>
    <t>Pinza Pelacable Automática</t>
  </si>
  <si>
    <t>AWG 10-24 (0.2-6.0mm²)</t>
  </si>
  <si>
    <t>Pretul</t>
  </si>
  <si>
    <t>Herramienta de desforre y corte de precisión para cableado electrónico.</t>
  </si>
  <si>
    <t>HER-004</t>
  </si>
  <si>
    <t>[Foto: Pinza de Corte]</t>
  </si>
  <si>
    <t>Pinza de Corte Diagonal / Flush Cutter</t>
  </si>
  <si>
    <t>PLATO 170 (125mm)</t>
  </si>
  <si>
    <t>Plato</t>
  </si>
  <si>
    <t>Alicate de corte al ras para terminales de componentes electrónicos y alambres de cobre.</t>
  </si>
  <si>
    <t>HER-005</t>
  </si>
  <si>
    <t>[Foto: Bomba Desoldadora]</t>
  </si>
  <si>
    <t>Extractor de Soldadura / Bomba de Vacío</t>
  </si>
  <si>
    <t>Succionador Manual 210mm</t>
  </si>
  <si>
    <t>Bomba desoldadora de aluminio con punta de teflón de alta resistencia al calor.</t>
  </si>
  <si>
    <t>HER-006</t>
  </si>
  <si>
    <t>[Foto: Pinzas Antiestáticas]</t>
  </si>
  <si>
    <t>Juego de Pinzas de Precisión ESD</t>
  </si>
  <si>
    <t>ESD-10 a ESD-15 (6 pzas)</t>
  </si>
  <si>
    <t>Vetus</t>
  </si>
  <si>
    <t>Set de pinzas de acero inoxidable antiestáticas antimagnéticas para SMD.</t>
  </si>
  <si>
    <t>CAB-001</t>
  </si>
  <si>
    <t>[Foto: Jumpers Dupont]</t>
  </si>
  <si>
    <t>Cables Dupont para Protoboard (Pack 40)</t>
  </si>
  <si>
    <t>Cables</t>
  </si>
  <si>
    <t>Macho-Hembra 20cm</t>
  </si>
  <si>
    <t>Cables flexibles multicolor para prototipado rápido en tableros y tarjetas de desarrollo.</t>
  </si>
  <si>
    <t>CAB-002</t>
  </si>
  <si>
    <t>[Foto: Bobina UTP Cat6]</t>
  </si>
  <si>
    <t>Cable de Red UTP Categoría 6 (Metro)</t>
  </si>
  <si>
    <t>Cat6 100% Cobre AWG23</t>
  </si>
  <si>
    <t>Condumex</t>
  </si>
  <si>
    <t>Conductor de 4 pares trenzados para redes Gigabit Ethernet de alta velocidad.</t>
  </si>
  <si>
    <t>CAB-003</t>
  </si>
  <si>
    <t>[Foto: Cable USB Tipo C]</t>
  </si>
  <si>
    <t>Cable USB Tipo C a USB-A Reforzado</t>
  </si>
  <si>
    <t>1 Metro / 3A Carga Rápida</t>
  </si>
  <si>
    <t>Cable con recubrimiento de nylon trenzado para programación y transferencia.</t>
  </si>
  <si>
    <t>CAB-004</t>
  </si>
  <si>
    <t>[Foto: Cable HDMI 2.0]</t>
  </si>
  <si>
    <t>Cable HDMI 2.0 4K Ultra HD</t>
  </si>
  <si>
    <t>1.8 Metros con Filtro</t>
  </si>
  <si>
    <t>Cable blindado de alta definición para monitores, proyectores y SBCs.</t>
  </si>
  <si>
    <t>CAB-005</t>
  </si>
  <si>
    <t>[Foto: Alambre Magneto]</t>
  </si>
  <si>
    <t>Alambre de Cobre Esmaltado / Magneto</t>
  </si>
  <si>
    <t>Calibre 26 AWG (100g)</t>
  </si>
  <si>
    <t>IUSA</t>
  </si>
  <si>
    <t>Alambre aislado con esmalte de poliuretano para bobinados e inductores.</t>
  </si>
  <si>
    <t>CAB-006</t>
  </si>
  <si>
    <t>[Foto: Termofit Surtido]</t>
  </si>
  <si>
    <t>Tubo Termorretráctil / Termofit (Caja)</t>
  </si>
  <si>
    <t>Diámetros 1mm - 10mm (127 pzas)</t>
  </si>
  <si>
    <t>Aislamiento térmico retráctil 2:1 para empalmes y protección de conectores.</t>
  </si>
  <si>
    <t>TEL-001</t>
  </si>
  <si>
    <t>[Foto: Módulo GSM SIM800L]</t>
  </si>
  <si>
    <t>Módulo Celular GSM/GPRS</t>
  </si>
  <si>
    <t>Telefonía</t>
  </si>
  <si>
    <t>SIM800L MicroSIM</t>
  </si>
  <si>
    <t>SIMCom</t>
  </si>
  <si>
    <t>Módulo de transmisión inalámbrica de datos GPRS, llamadas de voz y comandos SMS.</t>
  </si>
  <si>
    <t>TEL-002</t>
  </si>
  <si>
    <t>[Foto: Conector RJ11 PCB]</t>
  </si>
  <si>
    <t>Conector Telefónico Hembra RJ11 6P4C</t>
  </si>
  <si>
    <t>RJ11 4 Vías 90°</t>
  </si>
  <si>
    <t>Molex</t>
  </si>
  <si>
    <t>Jack telefónico estándar para montaje en circuito impreso.</t>
  </si>
  <si>
    <t>TEL-003</t>
  </si>
  <si>
    <t>[Foto: Cable Telefónico]</t>
  </si>
  <si>
    <t>Cable Telefónico Plano 4 Hilos (Metro)</t>
  </si>
  <si>
    <t>Plano 4C Blanco</t>
  </si>
  <si>
    <t>Cable para interconexión de líneas telefónicas análogas y conmutadores.</t>
  </si>
  <si>
    <t>TEL-004</t>
  </si>
  <si>
    <t>[Foto: Antena GSM PCB]</t>
  </si>
  <si>
    <t>Antena Parche GSM/GPRS IPEX</t>
  </si>
  <si>
    <t>Quad-Band 3dBi</t>
  </si>
  <si>
    <t>Antena omnidireccional adhesiva para módulos embebidos de telecomunicaciones.</t>
  </si>
  <si>
    <t>ENE-001</t>
  </si>
  <si>
    <t>[Foto: Batería LiPo 3.7V]</t>
  </si>
  <si>
    <t>Batería Recargable LiPo 3.7V</t>
  </si>
  <si>
    <t>Energía</t>
  </si>
  <si>
    <t>3.7V 1200mAh con JST 2.0</t>
  </si>
  <si>
    <t>PKCELL</t>
  </si>
  <si>
    <t>Batería de polímero de litio compacta con placa de protección BMS integrada.</t>
  </si>
  <si>
    <t>ENE-002</t>
  </si>
  <si>
    <t>[Foto: Módulo TP4056]</t>
  </si>
  <si>
    <t>Módulo Cargador de Baterías Li-Ion</t>
  </si>
  <si>
    <t>TP4056 con Protección Tipo C</t>
  </si>
  <si>
    <t>Placa de carga lineal de 1A para celdas 18650 con corte automático por voltaje.</t>
  </si>
  <si>
    <t>ENE-003</t>
  </si>
  <si>
    <t>[Foto: Convertidor Step-Down]</t>
  </si>
  <si>
    <t>Módulo Reductor de Voltaje DC-DC</t>
  </si>
  <si>
    <t>LM2596 (1.25V-30V 3A)</t>
  </si>
  <si>
    <t>Texas Instruments</t>
  </si>
  <si>
    <t>Regulador conmutado ajustable de alto rendimiento con potenciómetro multivuelta.</t>
  </si>
  <si>
    <t>ENE-004</t>
  </si>
  <si>
    <t>[Foto: Regulador LM7805]</t>
  </si>
  <si>
    <t>Regulador Lineal de Voltaje 5V</t>
  </si>
  <si>
    <t>LM7805 TO-220 (5V 1.5A)</t>
  </si>
  <si>
    <t>STMicroelectronics</t>
  </si>
  <si>
    <t>Regulador de tensión positiva fija en encapsulado TO-220 estándar.</t>
  </si>
  <si>
    <t>ENE-005</t>
  </si>
  <si>
    <t>[Foto: Fuente Conmutada 12V]</t>
  </si>
  <si>
    <t>Fuente de Alimentación Tipo Industrial</t>
  </si>
  <si>
    <t>12V DC 5A (60W Metálica)</t>
  </si>
  <si>
    <t>Mean Well</t>
  </si>
  <si>
    <t>Fuente regulada con chasis de aluminio perforado para sistemas embebidos y tiras LED.</t>
  </si>
  <si>
    <t>ENE-006</t>
  </si>
  <si>
    <t>[Foto: Panel Solar Mini]</t>
  </si>
  <si>
    <t>Mini Panel Solar Monocristalino</t>
  </si>
  <si>
    <t>5V 200mA (1W) 110x60mm</t>
  </si>
  <si>
    <t>Célula solar fotovoltaica para proyectos de cosecha de energía autónomos.</t>
  </si>
  <si>
    <t>ACO-001</t>
  </si>
  <si>
    <t>[Foto: Enchufe Inteligente]</t>
  </si>
  <si>
    <t>Enchufe Inteligente WiFi</t>
  </si>
  <si>
    <t>Artículos de Casa y Oficina</t>
  </si>
  <si>
    <t>16A 110-240V Tuya/SmartLife</t>
  </si>
  <si>
    <t>Sonoff</t>
  </si>
  <si>
    <t>Tomacorriente inalámbrico con monitoreo de consumo y control por app/voz.</t>
  </si>
  <si>
    <t>ACO-002</t>
  </si>
  <si>
    <t>[Foto: Tira LED RGB 5050]</t>
  </si>
  <si>
    <t>Tira LED RGB 5050 SMD (Rollo 5m)</t>
  </si>
  <si>
    <t>IP65 12V 60 LEDs/m</t>
  </si>
  <si>
    <t>Iluminación decorativa y de ambiente para escritorio, repisas y estaciones de trabajo.</t>
  </si>
  <si>
    <t>ACO-003</t>
  </si>
  <si>
    <t>[Foto: Sensor Movimiento PIR]</t>
  </si>
  <si>
    <t>Sensor de Movimiento Infrarrojo PIR</t>
  </si>
  <si>
    <t>HC-SR501</t>
  </si>
  <si>
    <t>Detector de presencia humana para automatización de luces en oficinas y pasillos.</t>
  </si>
  <si>
    <t>ACO-004</t>
  </si>
  <si>
    <t>[Foto: Termohigrómetro LCD]</t>
  </si>
  <si>
    <t>Mini Termómetro / Higrómetro Digital</t>
  </si>
  <si>
    <t>FY-10 Sonda 1.5m</t>
  </si>
  <si>
    <t>Medidor compacto de temperatura y humedad ambiente para racks y oficinas.</t>
  </si>
  <si>
    <t>ACO-005</t>
  </si>
  <si>
    <t>[Foto: Organizador de Cables]</t>
  </si>
  <si>
    <t>Organizador Espiral para Cables (2m)</t>
  </si>
  <si>
    <t>25mm Diámetro Negro</t>
  </si>
  <si>
    <t>Manga organizadora helicoidal flexible para ordenar cableado de computadoras.</t>
  </si>
  <si>
    <t>SEG-001</t>
  </si>
  <si>
    <t>[Foto: ESP32-CAM con OV2640]</t>
  </si>
  <si>
    <t>Cámara de Desarrollo ESP32-CAM</t>
  </si>
  <si>
    <t>Seguridad (las cámaras)</t>
  </si>
  <si>
    <t>ESP32-CAM + OV2640 2MP</t>
  </si>
  <si>
    <t>Ai-Thinker</t>
  </si>
  <si>
    <t>Placa IoT con Wi-Fi, Bluetooth y cámara para videovigilancia y reconocimiento facial.</t>
  </si>
  <si>
    <t>SEG-002</t>
  </si>
  <si>
    <t>[Foto: Cámara IP Domo WiFi]</t>
  </si>
  <si>
    <t>Cámara de Seguridad IP Robótica 360°</t>
  </si>
  <si>
    <t>Full HD 1080p PTZ WiFi</t>
  </si>
  <si>
    <t>TP-Link Tapo</t>
  </si>
  <si>
    <t>Cámara motorizada para interiores con visión nocturna infrarroja y audio bidireccional.</t>
  </si>
  <si>
    <t>SEG-003</t>
  </si>
  <si>
    <t>[Foto: Cámara Bullet Exterior]</t>
  </si>
  <si>
    <t>Cámara de Seguridad Tipo Bala para Exterior</t>
  </si>
  <si>
    <t>1080p IP66 Visión Nocturna</t>
  </si>
  <si>
    <t>Hikvision</t>
  </si>
  <si>
    <t>Cámara de circuito cerrado resistente a intemperie con infrarrojos de largo alcance.</t>
  </si>
  <si>
    <t>SEG-004</t>
  </si>
  <si>
    <t>[Foto: Lector RFID NFC]</t>
  </si>
  <si>
    <t>Lector de Tarjetas y Llaveros RFID</t>
  </si>
  <si>
    <t>RC522 13.56MHz SPI</t>
  </si>
  <si>
    <t>NXP</t>
  </si>
  <si>
    <t>Módulo de control de acceso por radiofrecuencia para cerraduras electrónicas.</t>
  </si>
  <si>
    <t>SEG-005</t>
  </si>
  <si>
    <t>[Foto: Cerradura Solenoide]</t>
  </si>
  <si>
    <t>Cerradura Eléctrica de Golpe (Solenoide)</t>
  </si>
  <si>
    <t>12V DC 0.6A Tipo Pestillo</t>
  </si>
  <si>
    <t>Actuador electromagnético para control de acceso en puertas, casilleros y lockers.</t>
  </si>
  <si>
    <t>SEG-006</t>
  </si>
  <si>
    <t>[Foto: Sensor Barrera Infrarroja]</t>
  </si>
  <si>
    <t>Sensor de Barrera Infrarroja Fotoeléctrica</t>
  </si>
  <si>
    <t>E18-D80NK (3 a 80 cm)</t>
  </si>
  <si>
    <t>Omron</t>
  </si>
  <si>
    <t>Sensor óptico digital para detección perimetral y alarmas de intrusión.</t>
  </si>
  <si>
    <t>PRJ-001</t>
  </si>
  <si>
    <t>[Foto: Microcontrolador PIC]</t>
  </si>
  <si>
    <t>Microcontrolador PIC de 18 Pines</t>
  </si>
  <si>
    <t>proyectos de electrónica</t>
  </si>
  <si>
    <t>PIC16F627A-I/P</t>
  </si>
  <si>
    <t>Microchip</t>
  </si>
  <si>
    <t>Microcontrolador Flash de 8 bits con oscilador interno de 4MHz para proyectos embebidos.</t>
  </si>
  <si>
    <t>PRJ-002</t>
  </si>
  <si>
    <t>[Foto: ESP32 NodeMCU]</t>
  </si>
  <si>
    <t>Tarjeta de Desarrollo IoT ESP32</t>
  </si>
  <si>
    <t>ESP-WROOM-32 (38 Pines)</t>
  </si>
  <si>
    <t>Espressif</t>
  </si>
  <si>
    <t>Tarjeta con microcontrolador de doble núcleo, Wi-Fi b/g/n y Bluetooth 4.2 BLE.</t>
  </si>
  <si>
    <t>PRJ-003</t>
  </si>
  <si>
    <t>[Foto: Display LCD 16x2 I2C]</t>
  </si>
  <si>
    <t>Pantalla LCD 16x2 con Módulo I2C</t>
  </si>
  <si>
    <t>LCD1602 Azul + PCF8574</t>
  </si>
  <si>
    <t>Pantalla alfanumérica de 2 filas y 16 caracteres controlada mediante bus I2C (2 pines).</t>
  </si>
  <si>
    <t>PRJ-004</t>
  </si>
  <si>
    <t>[Foto: Módulo Bluetooth HC-05]</t>
  </si>
  <si>
    <t>Módulo de Comunicación Bluetooth Serial</t>
  </si>
  <si>
    <t>HC-05 Maestro/Esclavo</t>
  </si>
  <si>
    <t>Transceptor serial inalámbrico SPP para comunicación entre microcontroladores y smartphones.</t>
  </si>
  <si>
    <t>PRJ-005</t>
  </si>
  <si>
    <t>[Foto: Módulo NFC PN532]</t>
  </si>
  <si>
    <t>Módulo Lector/Grabador NFC RFID</t>
  </si>
  <si>
    <t>PN532 V3 (I2C/SPI/UART)</t>
  </si>
  <si>
    <t>Módulo de alta compatibilidad para tarjetas Mifare, etiquetas NFC y emulación de tarjetas.</t>
  </si>
  <si>
    <t>PRJ-006</t>
  </si>
  <si>
    <t>[Foto: Protoboard 830 Ptos]</t>
  </si>
  <si>
    <t>Protoboard / Tablero de Pruebas</t>
  </si>
  <si>
    <t>MB-102 (830 Puntos)</t>
  </si>
  <si>
    <t>Tablero de inserción para prototipado sin soldadura con pistas de alimentación dual.</t>
  </si>
  <si>
    <t>PRJ-007</t>
  </si>
  <si>
    <t>[Foto: Resistencia 1/4W Kit]</t>
  </si>
  <si>
    <t>Kit de Resistencias de Película de Carbón</t>
  </si>
  <si>
    <t>1/4W 1% (30 Valores x 20 pzas)</t>
  </si>
  <si>
    <t>Surtido completo de 600 resistencias desde 10Ω hasta 1MΩ en caja organizadora.</t>
  </si>
  <si>
    <t>PRJ-008</t>
  </si>
  <si>
    <t>[Foto: Teclado Matricial 4x3]</t>
  </si>
  <si>
    <t>Teclado Matricial de Membrana</t>
  </si>
  <si>
    <t>4x3 Teclas (12 Botones)</t>
  </si>
  <si>
    <t>Matriz de botones numéricos con conector hembra 7 pines para sistemas de seguridad y claves.</t>
  </si>
  <si>
    <t>TOTALES</t>
  </si>
  <si>
    <t>Promedio de precios / Suma total de unidades en existencia</t>
  </si>
  <si>
    <t>PANEL DE CONTROL Y RESUMEN EJECUTIVO DEL CATÁLOGO</t>
  </si>
  <si>
    <t>Métricas consolidadas por categoría, distribución de inventario y valuación total en MXN.</t>
  </si>
  <si>
    <t>TOTAL DE PRODUCTOS (SKUs)</t>
  </si>
  <si>
    <t>TOTAL UNIDADES EN STOCK</t>
  </si>
  <si>
    <t>VALUACIÓN TOTAL ESTIMADA (MXN)</t>
  </si>
  <si>
    <t>Categoría</t>
  </si>
  <si>
    <t>Cant. Productos</t>
  </si>
  <si>
    <t>Stock Total (Pzas)</t>
  </si>
  <si>
    <t>Precio Promedio (MXN)</t>
  </si>
  <si>
    <t>computación</t>
  </si>
  <si>
    <t>herramientas</t>
  </si>
  <si>
    <t>cables</t>
  </si>
  <si>
    <t>telefonía</t>
  </si>
  <si>
    <t>energía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</si>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</sst>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8" x14ac:knownFonts="1">
    <font>
      <sz val="11"/>
      <color theme="1"/>
      <name val="Calibri"/>
      <family val="2"/>
      <scheme val="minor"/>
    </font>
    <font>
      <b/>
      <sz val="16"/>
      <color rgb="FF1E293B"/>
      <name val="Calibri"/>
      <family val="2"/>
    </font>
    <font>
      <i/>
      <sz val="10"/>
      <color rgb="FF64748B"/>
      <name val="Calibri"/>
      <family val="2"/>
    </font>
    <font>
      <b/>
      <sz val="11"/>
      <color rgb="FFFFFFFF"/>
      <name val="Calibri"/>
      <family val="2"/>
    </font>
    <font>
      <sz val="10"/>
      <color rgb="FF1E293B"/>
      <name val="Calibri"/>
      <family val="2"/>
    </font>
    <font>
      <b/>
      <sz val="10"/>
      <color rgb="FF1E293B"/>
      <name val="Calibri"/>
      <family val="2"/>
    </font>
    <font>
      <b/>
      <sz val="9"/>
      <color rgb="FF64748B"/>
      <name val="Calibri"/>
      <family val="2"/>
    </font>
    <font>
      <b/>
      <sz val="18"/>
      <color rgb="FF1E3A8A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E3A8A"/>
        <bgColor rgb="FF1E3A8A"/>
      </patternFill>
    </fill>
    <fill>
      <patternFill patternType="solid">
        <fgColor rgb="FFFFFFFF"/>
        <bgColor rgb="FFFFFFFF"/>
      </patternFill>
    </fill>
    <fill>
      <patternFill patternType="solid">
        <fgColor rgb="FFF8FAFC"/>
        <bgColor rgb="FFF8FAFC"/>
      </patternFill>
    </fill>
    <fill>
      <patternFill patternType="solid">
        <fgColor rgb="FFE2E8F0"/>
        <bgColor rgb="FFE2E8F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164" fontId="4" fillId="3" borderId="1" xfId="0" applyNumberFormat="1" applyFont="1" applyFill="1" applyBorder="1" applyAlignment="1">
      <alignment horizontal="right" vertical="center"/>
    </xf>
    <xf numFmtId="3" fontId="4" fillId="3" borderId="1" xfId="0" applyNumberFormat="1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/>
    </xf>
    <xf numFmtId="0" fontId="0" fillId="5" borderId="1" xfId="0" applyFill="1" applyBorder="1"/>
    <xf numFmtId="164" fontId="5" fillId="5" borderId="1" xfId="0" applyNumberFormat="1" applyFont="1" applyFill="1" applyBorder="1" applyAlignment="1">
      <alignment horizontal="right" vertical="center"/>
    </xf>
    <xf numFmtId="3" fontId="5" fillId="5" borderId="1" xfId="0" applyNumberFormat="1" applyFont="1" applyFill="1" applyBorder="1" applyAlignment="1">
      <alignment horizontal="right" vertical="center"/>
    </xf>
    <xf numFmtId="0" fontId="2" fillId="5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3" fontId="4" fillId="3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3" fontId="5" fillId="5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/>
    <xf numFmtId="0" fontId="2" fillId="0" borderId="0" xfId="0" applyFont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0" fillId="4" borderId="1" xfId="0" applyFill="1" applyBorder="1"/>
    <xf numFmtId="164" fontId="7" fillId="4" borderId="1" xfId="0" applyNumberFormat="1" applyFont="1" applyFill="1" applyBorder="1" applyAlignment="1">
      <alignment horizontal="center" vertical="center"/>
    </xf>
    <xf numFmtId="3" fontId="7" fillId="4" borderId="1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Unidades en Existencia (Stock) por Categoría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 Resumen'!$C$8</c:f>
              <c:strCache>
                <c:ptCount val="1"/>
                <c:pt idx="0">
                  <c:v>Stock Total (Pzas)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'Dashboard Resumen'!$A$9:$A$17</c:f>
              <c:strCache>
                <c:ptCount val="9"/>
                <c:pt idx="0">
                  <c:v>Audio</c:v>
                </c:pt>
                <c:pt idx="1">
                  <c:v>computación</c:v>
                </c:pt>
                <c:pt idx="2">
                  <c:v>herramientas</c:v>
                </c:pt>
                <c:pt idx="3">
                  <c:v>cables</c:v>
                </c:pt>
                <c:pt idx="4">
                  <c:v>telefonía</c:v>
                </c:pt>
                <c:pt idx="5">
                  <c:v>energía</c:v>
                </c:pt>
                <c:pt idx="6">
                  <c:v>Artículos de Casa y Oficina</c:v>
                </c:pt>
                <c:pt idx="7">
                  <c:v>Seguridad (las cámaras)</c:v>
                </c:pt>
                <c:pt idx="8">
                  <c:v>proyectos de electrónica</c:v>
                </c:pt>
              </c:strCache>
            </c:strRef>
          </c:cat>
          <c:val>
            <c:numRef>
              <c:f>'Dashboard Resumen'!$C$9:$C$17</c:f>
              <c:numCache>
                <c:formatCode>#,##0</c:formatCode>
                <c:ptCount val="9"/>
                <c:pt idx="0">
                  <c:v>630</c:v>
                </c:pt>
                <c:pt idx="1">
                  <c:v>215</c:v>
                </c:pt>
                <c:pt idx="2">
                  <c:v>310</c:v>
                </c:pt>
                <c:pt idx="3">
                  <c:v>930</c:v>
                </c:pt>
                <c:pt idx="4">
                  <c:v>625</c:v>
                </c:pt>
                <c:pt idx="5">
                  <c:v>790</c:v>
                </c:pt>
                <c:pt idx="6">
                  <c:v>335</c:v>
                </c:pt>
                <c:pt idx="7">
                  <c:v>345</c:v>
                </c:pt>
                <c:pt idx="8">
                  <c:v>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0D-48E2-9B0E-683DB42F88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Categorías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Piezas en Inventario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7</xdr:row>
      <xdr:rowOff>0</xdr:rowOff>
    </xdr:from>
    <xdr:ext cx="576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7"/>
  <sheetViews>
    <sheetView topLeftCell="C1" workbookViewId="0">
      <pane ySplit="4" topLeftCell="A55" activePane="bottomLeft" state="frozen"/>
      <selection pane="bottomLeft" activeCell="G57" sqref="G57"/>
    </sheetView>
  </sheetViews>
  <sheetFormatPr baseColWidth="10" defaultColWidth="8.88671875" defaultRowHeight="14.4" x14ac:dyDescent="0.3"/>
  <cols>
    <col min="1" max="1" width="14" customWidth="1"/>
    <col min="2" max="2" width="26" customWidth="1"/>
    <col min="3" max="3" width="36" customWidth="1"/>
    <col min="4" max="4" width="25" customWidth="1"/>
    <col min="5" max="5" width="28" customWidth="1"/>
    <col min="6" max="6" width="18" customWidth="1"/>
    <col min="7" max="7" width="16" customWidth="1"/>
    <col min="8" max="8" width="15" customWidth="1"/>
    <col min="9" max="9" width="50" customWidth="1"/>
  </cols>
  <sheetData>
    <row r="1" spans="1:9" ht="21" x14ac:dyDescent="0.3">
      <c r="A1" s="23" t="s">
        <v>0</v>
      </c>
      <c r="B1" s="24"/>
      <c r="C1" s="24"/>
      <c r="D1" s="24"/>
      <c r="E1" s="24"/>
      <c r="F1" s="24"/>
      <c r="G1" s="24"/>
      <c r="H1" s="24"/>
      <c r="I1" s="24"/>
    </row>
    <row r="2" spans="1:9" x14ac:dyDescent="0.3">
      <c r="A2" s="25" t="s">
        <v>1</v>
      </c>
      <c r="B2" s="24"/>
      <c r="C2" s="24"/>
      <c r="D2" s="24"/>
      <c r="E2" s="24"/>
      <c r="F2" s="24"/>
      <c r="G2" s="24"/>
      <c r="H2" s="24"/>
      <c r="I2" s="24"/>
    </row>
    <row r="4" spans="1:9" ht="28.05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 ht="24" customHeight="1" x14ac:dyDescent="0.3">
      <c r="A5" s="2" t="s">
        <v>11</v>
      </c>
      <c r="B5" s="2" t="s">
        <v>12</v>
      </c>
      <c r="C5" s="3" t="s">
        <v>13</v>
      </c>
      <c r="D5" s="2" t="s">
        <v>14</v>
      </c>
      <c r="E5" s="3" t="s">
        <v>15</v>
      </c>
      <c r="F5" s="2" t="s">
        <v>16</v>
      </c>
      <c r="G5" s="4">
        <v>18.5</v>
      </c>
      <c r="H5" s="5">
        <v>150</v>
      </c>
      <c r="I5" s="6" t="s">
        <v>17</v>
      </c>
    </row>
    <row r="6" spans="1:9" ht="24" customHeight="1" x14ac:dyDescent="0.3">
      <c r="A6" s="7" t="s">
        <v>18</v>
      </c>
      <c r="B6" s="7" t="s">
        <v>19</v>
      </c>
      <c r="C6" s="8" t="s">
        <v>20</v>
      </c>
      <c r="D6" s="7" t="s">
        <v>14</v>
      </c>
      <c r="E6" s="8" t="s">
        <v>21</v>
      </c>
      <c r="F6" s="7" t="s">
        <v>22</v>
      </c>
      <c r="G6" s="9">
        <v>35</v>
      </c>
      <c r="H6" s="10">
        <v>85</v>
      </c>
      <c r="I6" s="11" t="s">
        <v>23</v>
      </c>
    </row>
    <row r="7" spans="1:9" ht="24" customHeight="1" x14ac:dyDescent="0.3">
      <c r="A7" s="2" t="s">
        <v>24</v>
      </c>
      <c r="B7" s="2" t="s">
        <v>25</v>
      </c>
      <c r="C7" s="3" t="s">
        <v>26</v>
      </c>
      <c r="D7" s="2" t="s">
        <v>14</v>
      </c>
      <c r="E7" s="3" t="s">
        <v>27</v>
      </c>
      <c r="F7" s="2" t="s">
        <v>28</v>
      </c>
      <c r="G7" s="4">
        <v>14</v>
      </c>
      <c r="H7" s="5">
        <v>200</v>
      </c>
      <c r="I7" s="6" t="s">
        <v>29</v>
      </c>
    </row>
    <row r="8" spans="1:9" ht="24" customHeight="1" x14ac:dyDescent="0.3">
      <c r="A8" s="7" t="s">
        <v>30</v>
      </c>
      <c r="B8" s="7" t="s">
        <v>31</v>
      </c>
      <c r="C8" s="8" t="s">
        <v>32</v>
      </c>
      <c r="D8" s="7" t="s">
        <v>14</v>
      </c>
      <c r="E8" s="8" t="s">
        <v>33</v>
      </c>
      <c r="F8" s="7" t="s">
        <v>16</v>
      </c>
      <c r="G8" s="9">
        <v>28</v>
      </c>
      <c r="H8" s="10">
        <v>90</v>
      </c>
      <c r="I8" s="11" t="s">
        <v>34</v>
      </c>
    </row>
    <row r="9" spans="1:9" ht="24" customHeight="1" x14ac:dyDescent="0.3">
      <c r="A9" s="2" t="s">
        <v>35</v>
      </c>
      <c r="B9" s="2" t="s">
        <v>36</v>
      </c>
      <c r="C9" s="3" t="s">
        <v>37</v>
      </c>
      <c r="D9" s="2" t="s">
        <v>14</v>
      </c>
      <c r="E9" s="3" t="s">
        <v>38</v>
      </c>
      <c r="F9" s="2" t="s">
        <v>39</v>
      </c>
      <c r="G9" s="4">
        <v>75</v>
      </c>
      <c r="H9" s="5">
        <v>45</v>
      </c>
      <c r="I9" s="6" t="s">
        <v>40</v>
      </c>
    </row>
    <row r="10" spans="1:9" ht="24" customHeight="1" x14ac:dyDescent="0.3">
      <c r="A10" s="7" t="s">
        <v>41</v>
      </c>
      <c r="B10" s="7" t="s">
        <v>42</v>
      </c>
      <c r="C10" s="8" t="s">
        <v>43</v>
      </c>
      <c r="D10" s="7" t="s">
        <v>14</v>
      </c>
      <c r="E10" s="8" t="s">
        <v>44</v>
      </c>
      <c r="F10" s="7" t="s">
        <v>45</v>
      </c>
      <c r="G10" s="9">
        <v>65</v>
      </c>
      <c r="H10" s="10">
        <v>60</v>
      </c>
      <c r="I10" s="11" t="s">
        <v>46</v>
      </c>
    </row>
    <row r="11" spans="1:9" ht="24" customHeight="1" x14ac:dyDescent="0.3">
      <c r="A11" s="2" t="s">
        <v>47</v>
      </c>
      <c r="B11" s="2" t="s">
        <v>48</v>
      </c>
      <c r="C11" s="3" t="s">
        <v>49</v>
      </c>
      <c r="D11" s="2" t="s">
        <v>50</v>
      </c>
      <c r="E11" s="3" t="s">
        <v>51</v>
      </c>
      <c r="F11" s="2" t="s">
        <v>52</v>
      </c>
      <c r="G11" s="4">
        <v>55</v>
      </c>
      <c r="H11" s="5">
        <v>70</v>
      </c>
      <c r="I11" s="6" t="s">
        <v>53</v>
      </c>
    </row>
    <row r="12" spans="1:9" ht="24" customHeight="1" x14ac:dyDescent="0.3">
      <c r="A12" s="7" t="s">
        <v>54</v>
      </c>
      <c r="B12" s="7" t="s">
        <v>55</v>
      </c>
      <c r="C12" s="8" t="s">
        <v>56</v>
      </c>
      <c r="D12" s="7" t="s">
        <v>50</v>
      </c>
      <c r="E12" s="8" t="s">
        <v>57</v>
      </c>
      <c r="F12" s="7" t="s">
        <v>58</v>
      </c>
      <c r="G12" s="9">
        <v>78</v>
      </c>
      <c r="H12" s="10">
        <v>50</v>
      </c>
      <c r="I12" s="11" t="s">
        <v>59</v>
      </c>
    </row>
    <row r="13" spans="1:9" ht="24" customHeight="1" x14ac:dyDescent="0.3">
      <c r="A13" s="2" t="s">
        <v>60</v>
      </c>
      <c r="B13" s="2" t="s">
        <v>61</v>
      </c>
      <c r="C13" s="3" t="s">
        <v>62</v>
      </c>
      <c r="D13" s="2" t="s">
        <v>50</v>
      </c>
      <c r="E13" s="3" t="s">
        <v>63</v>
      </c>
      <c r="F13" s="2" t="s">
        <v>64</v>
      </c>
      <c r="G13" s="4">
        <v>95</v>
      </c>
      <c r="H13" s="5">
        <v>40</v>
      </c>
      <c r="I13" s="6" t="s">
        <v>65</v>
      </c>
    </row>
    <row r="14" spans="1:9" ht="24" customHeight="1" x14ac:dyDescent="0.3">
      <c r="A14" s="7" t="s">
        <v>66</v>
      </c>
      <c r="B14" s="7" t="s">
        <v>67</v>
      </c>
      <c r="C14" s="8" t="s">
        <v>68</v>
      </c>
      <c r="D14" s="7" t="s">
        <v>50</v>
      </c>
      <c r="E14" s="8" t="s">
        <v>69</v>
      </c>
      <c r="F14" s="7" t="s">
        <v>70</v>
      </c>
      <c r="G14" s="9">
        <v>240</v>
      </c>
      <c r="H14" s="10">
        <v>25</v>
      </c>
      <c r="I14" s="11" t="s">
        <v>71</v>
      </c>
    </row>
    <row r="15" spans="1:9" ht="24" customHeight="1" x14ac:dyDescent="0.3">
      <c r="A15" s="2" t="s">
        <v>72</v>
      </c>
      <c r="B15" s="2" t="s">
        <v>73</v>
      </c>
      <c r="C15" s="3" t="s">
        <v>74</v>
      </c>
      <c r="D15" s="2" t="s">
        <v>50</v>
      </c>
      <c r="E15" s="3" t="s">
        <v>75</v>
      </c>
      <c r="F15" s="2" t="s">
        <v>76</v>
      </c>
      <c r="G15" s="4">
        <v>185</v>
      </c>
      <c r="H15" s="5">
        <v>30</v>
      </c>
      <c r="I15" s="6" t="s">
        <v>77</v>
      </c>
    </row>
    <row r="16" spans="1:9" ht="24" customHeight="1" x14ac:dyDescent="0.3">
      <c r="A16" s="7" t="s">
        <v>78</v>
      </c>
      <c r="B16" s="7" t="s">
        <v>79</v>
      </c>
      <c r="C16" s="8" t="s">
        <v>80</v>
      </c>
      <c r="D16" s="7" t="s">
        <v>81</v>
      </c>
      <c r="E16" s="8" t="s">
        <v>82</v>
      </c>
      <c r="F16" s="7" t="s">
        <v>83</v>
      </c>
      <c r="G16" s="9">
        <v>220</v>
      </c>
      <c r="H16" s="10">
        <v>35</v>
      </c>
      <c r="I16" s="11" t="s">
        <v>84</v>
      </c>
    </row>
    <row r="17" spans="1:9" ht="24" customHeight="1" x14ac:dyDescent="0.3">
      <c r="A17" s="2" t="s">
        <v>85</v>
      </c>
      <c r="B17" s="2" t="s">
        <v>86</v>
      </c>
      <c r="C17" s="3" t="s">
        <v>87</v>
      </c>
      <c r="D17" s="2" t="s">
        <v>81</v>
      </c>
      <c r="E17" s="3" t="s">
        <v>88</v>
      </c>
      <c r="F17" s="2" t="s">
        <v>89</v>
      </c>
      <c r="G17" s="4">
        <v>390</v>
      </c>
      <c r="H17" s="5">
        <v>20</v>
      </c>
      <c r="I17" s="6" t="s">
        <v>90</v>
      </c>
    </row>
    <row r="18" spans="1:9" ht="24" customHeight="1" x14ac:dyDescent="0.3">
      <c r="A18" s="7" t="s">
        <v>91</v>
      </c>
      <c r="B18" s="7" t="s">
        <v>92</v>
      </c>
      <c r="C18" s="8" t="s">
        <v>93</v>
      </c>
      <c r="D18" s="7" t="s">
        <v>81</v>
      </c>
      <c r="E18" s="8" t="s">
        <v>94</v>
      </c>
      <c r="F18" s="7" t="s">
        <v>95</v>
      </c>
      <c r="G18" s="9">
        <v>165</v>
      </c>
      <c r="H18" s="10">
        <v>45</v>
      </c>
      <c r="I18" s="11" t="s">
        <v>96</v>
      </c>
    </row>
    <row r="19" spans="1:9" ht="24" customHeight="1" x14ac:dyDescent="0.3">
      <c r="A19" s="2" t="s">
        <v>97</v>
      </c>
      <c r="B19" s="2" t="s">
        <v>98</v>
      </c>
      <c r="C19" s="3" t="s">
        <v>99</v>
      </c>
      <c r="D19" s="2" t="s">
        <v>81</v>
      </c>
      <c r="E19" s="3" t="s">
        <v>100</v>
      </c>
      <c r="F19" s="2" t="s">
        <v>101</v>
      </c>
      <c r="G19" s="4">
        <v>48</v>
      </c>
      <c r="H19" s="5">
        <v>110</v>
      </c>
      <c r="I19" s="6" t="s">
        <v>102</v>
      </c>
    </row>
    <row r="20" spans="1:9" ht="24" customHeight="1" x14ac:dyDescent="0.3">
      <c r="A20" s="7" t="s">
        <v>103</v>
      </c>
      <c r="B20" s="7" t="s">
        <v>104</v>
      </c>
      <c r="C20" s="8" t="s">
        <v>105</v>
      </c>
      <c r="D20" s="7" t="s">
        <v>81</v>
      </c>
      <c r="E20" s="8" t="s">
        <v>106</v>
      </c>
      <c r="F20" s="7" t="s">
        <v>16</v>
      </c>
      <c r="G20" s="9">
        <v>85</v>
      </c>
      <c r="H20" s="10">
        <v>60</v>
      </c>
      <c r="I20" s="11" t="s">
        <v>107</v>
      </c>
    </row>
    <row r="21" spans="1:9" ht="24" customHeight="1" x14ac:dyDescent="0.3">
      <c r="A21" s="2" t="s">
        <v>108</v>
      </c>
      <c r="B21" s="2" t="s">
        <v>109</v>
      </c>
      <c r="C21" s="3" t="s">
        <v>110</v>
      </c>
      <c r="D21" s="2" t="s">
        <v>81</v>
      </c>
      <c r="E21" s="3" t="s">
        <v>111</v>
      </c>
      <c r="F21" s="2" t="s">
        <v>112</v>
      </c>
      <c r="G21" s="4">
        <v>130</v>
      </c>
      <c r="H21" s="5">
        <v>40</v>
      </c>
      <c r="I21" s="6" t="s">
        <v>113</v>
      </c>
    </row>
    <row r="22" spans="1:9" ht="24" customHeight="1" x14ac:dyDescent="0.3">
      <c r="A22" s="7" t="s">
        <v>114</v>
      </c>
      <c r="B22" s="7" t="s">
        <v>115</v>
      </c>
      <c r="C22" s="8" t="s">
        <v>116</v>
      </c>
      <c r="D22" s="7" t="s">
        <v>117</v>
      </c>
      <c r="E22" s="8" t="s">
        <v>118</v>
      </c>
      <c r="F22" s="7" t="s">
        <v>22</v>
      </c>
      <c r="G22" s="9">
        <v>42</v>
      </c>
      <c r="H22" s="10">
        <v>150</v>
      </c>
      <c r="I22" s="11" t="s">
        <v>119</v>
      </c>
    </row>
    <row r="23" spans="1:9" ht="24" customHeight="1" x14ac:dyDescent="0.3">
      <c r="A23" s="2" t="s">
        <v>120</v>
      </c>
      <c r="B23" s="2" t="s">
        <v>121</v>
      </c>
      <c r="C23" s="3" t="s">
        <v>122</v>
      </c>
      <c r="D23" s="2" t="s">
        <v>117</v>
      </c>
      <c r="E23" s="3" t="s">
        <v>123</v>
      </c>
      <c r="F23" s="2" t="s">
        <v>124</v>
      </c>
      <c r="G23" s="4">
        <v>14.5</v>
      </c>
      <c r="H23" s="5">
        <v>500</v>
      </c>
      <c r="I23" s="6" t="s">
        <v>125</v>
      </c>
    </row>
    <row r="24" spans="1:9" ht="24" customHeight="1" x14ac:dyDescent="0.3">
      <c r="A24" s="7" t="s">
        <v>126</v>
      </c>
      <c r="B24" s="7" t="s">
        <v>127</v>
      </c>
      <c r="C24" s="8" t="s">
        <v>128</v>
      </c>
      <c r="D24" s="7" t="s">
        <v>117</v>
      </c>
      <c r="E24" s="8" t="s">
        <v>129</v>
      </c>
      <c r="F24" s="7" t="s">
        <v>76</v>
      </c>
      <c r="G24" s="9">
        <v>99</v>
      </c>
      <c r="H24" s="10">
        <v>80</v>
      </c>
      <c r="I24" s="11" t="s">
        <v>130</v>
      </c>
    </row>
    <row r="25" spans="1:9" ht="24" customHeight="1" x14ac:dyDescent="0.3">
      <c r="A25" s="2" t="s">
        <v>131</v>
      </c>
      <c r="B25" s="2" t="s">
        <v>132</v>
      </c>
      <c r="C25" s="3" t="s">
        <v>133</v>
      </c>
      <c r="D25" s="2" t="s">
        <v>117</v>
      </c>
      <c r="E25" s="3" t="s">
        <v>134</v>
      </c>
      <c r="F25" s="2" t="s">
        <v>16</v>
      </c>
      <c r="G25" s="4">
        <v>115</v>
      </c>
      <c r="H25" s="5">
        <v>65</v>
      </c>
      <c r="I25" s="6" t="s">
        <v>135</v>
      </c>
    </row>
    <row r="26" spans="1:9" ht="24" customHeight="1" x14ac:dyDescent="0.3">
      <c r="A26" s="7" t="s">
        <v>136</v>
      </c>
      <c r="B26" s="7" t="s">
        <v>137</v>
      </c>
      <c r="C26" s="8" t="s">
        <v>138</v>
      </c>
      <c r="D26" s="7" t="s">
        <v>117</v>
      </c>
      <c r="E26" s="8" t="s">
        <v>139</v>
      </c>
      <c r="F26" s="7" t="s">
        <v>140</v>
      </c>
      <c r="G26" s="9">
        <v>110</v>
      </c>
      <c r="H26" s="10">
        <v>40</v>
      </c>
      <c r="I26" s="11" t="s">
        <v>141</v>
      </c>
    </row>
    <row r="27" spans="1:9" ht="24" customHeight="1" x14ac:dyDescent="0.3">
      <c r="A27" s="2" t="s">
        <v>142</v>
      </c>
      <c r="B27" s="2" t="s">
        <v>143</v>
      </c>
      <c r="C27" s="3" t="s">
        <v>144</v>
      </c>
      <c r="D27" s="2" t="s">
        <v>117</v>
      </c>
      <c r="E27" s="3" t="s">
        <v>145</v>
      </c>
      <c r="F27" s="2" t="s">
        <v>22</v>
      </c>
      <c r="G27" s="4">
        <v>85</v>
      </c>
      <c r="H27" s="5">
        <v>95</v>
      </c>
      <c r="I27" s="6" t="s">
        <v>146</v>
      </c>
    </row>
    <row r="28" spans="1:9" ht="24" customHeight="1" x14ac:dyDescent="0.3">
      <c r="A28" s="7" t="s">
        <v>147</v>
      </c>
      <c r="B28" s="7" t="s">
        <v>148</v>
      </c>
      <c r="C28" s="8" t="s">
        <v>149</v>
      </c>
      <c r="D28" s="7" t="s">
        <v>150</v>
      </c>
      <c r="E28" s="8" t="s">
        <v>151</v>
      </c>
      <c r="F28" s="7" t="s">
        <v>152</v>
      </c>
      <c r="G28" s="9">
        <v>175</v>
      </c>
      <c r="H28" s="10">
        <v>35</v>
      </c>
      <c r="I28" s="11" t="s">
        <v>153</v>
      </c>
    </row>
    <row r="29" spans="1:9" ht="24" customHeight="1" x14ac:dyDescent="0.3">
      <c r="A29" s="2" t="s">
        <v>154</v>
      </c>
      <c r="B29" s="2" t="s">
        <v>155</v>
      </c>
      <c r="C29" s="3" t="s">
        <v>156</v>
      </c>
      <c r="D29" s="2" t="s">
        <v>150</v>
      </c>
      <c r="E29" s="3" t="s">
        <v>157</v>
      </c>
      <c r="F29" s="2" t="s">
        <v>158</v>
      </c>
      <c r="G29" s="4">
        <v>8.5</v>
      </c>
      <c r="H29" s="5">
        <v>180</v>
      </c>
      <c r="I29" s="6" t="s">
        <v>159</v>
      </c>
    </row>
    <row r="30" spans="1:9" ht="24" customHeight="1" x14ac:dyDescent="0.3">
      <c r="A30" s="7" t="s">
        <v>160</v>
      </c>
      <c r="B30" s="7" t="s">
        <v>161</v>
      </c>
      <c r="C30" s="8" t="s">
        <v>162</v>
      </c>
      <c r="D30" s="7" t="s">
        <v>150</v>
      </c>
      <c r="E30" s="8" t="s">
        <v>163</v>
      </c>
      <c r="F30" s="7" t="s">
        <v>16</v>
      </c>
      <c r="G30" s="9">
        <v>6</v>
      </c>
      <c r="H30" s="10">
        <v>300</v>
      </c>
      <c r="I30" s="11" t="s">
        <v>164</v>
      </c>
    </row>
    <row r="31" spans="1:9" ht="24" customHeight="1" x14ac:dyDescent="0.3">
      <c r="A31" s="2" t="s">
        <v>165</v>
      </c>
      <c r="B31" s="2" t="s">
        <v>166</v>
      </c>
      <c r="C31" s="3" t="s">
        <v>167</v>
      </c>
      <c r="D31" s="2" t="s">
        <v>150</v>
      </c>
      <c r="E31" s="3" t="s">
        <v>168</v>
      </c>
      <c r="F31" s="2" t="s">
        <v>22</v>
      </c>
      <c r="G31" s="4">
        <v>26</v>
      </c>
      <c r="H31" s="5">
        <v>110</v>
      </c>
      <c r="I31" s="6" t="s">
        <v>169</v>
      </c>
    </row>
    <row r="32" spans="1:9" ht="24" customHeight="1" x14ac:dyDescent="0.3">
      <c r="A32" s="7" t="s">
        <v>170</v>
      </c>
      <c r="B32" s="7" t="s">
        <v>171</v>
      </c>
      <c r="C32" s="8" t="s">
        <v>172</v>
      </c>
      <c r="D32" s="7" t="s">
        <v>173</v>
      </c>
      <c r="E32" s="8" t="s">
        <v>174</v>
      </c>
      <c r="F32" s="7" t="s">
        <v>175</v>
      </c>
      <c r="G32" s="9">
        <v>145</v>
      </c>
      <c r="H32" s="10">
        <v>50</v>
      </c>
      <c r="I32" s="11" t="s">
        <v>176</v>
      </c>
    </row>
    <row r="33" spans="1:9" ht="24" customHeight="1" x14ac:dyDescent="0.3">
      <c r="A33" s="2" t="s">
        <v>177</v>
      </c>
      <c r="B33" s="2" t="s">
        <v>178</v>
      </c>
      <c r="C33" s="3" t="s">
        <v>179</v>
      </c>
      <c r="D33" s="2" t="s">
        <v>173</v>
      </c>
      <c r="E33" s="3" t="s">
        <v>180</v>
      </c>
      <c r="F33" s="2" t="s">
        <v>22</v>
      </c>
      <c r="G33" s="4">
        <v>22</v>
      </c>
      <c r="H33" s="5">
        <v>220</v>
      </c>
      <c r="I33" s="6" t="s">
        <v>181</v>
      </c>
    </row>
    <row r="34" spans="1:9" ht="24" customHeight="1" x14ac:dyDescent="0.3">
      <c r="A34" s="7" t="s">
        <v>182</v>
      </c>
      <c r="B34" s="7" t="s">
        <v>183</v>
      </c>
      <c r="C34" s="8" t="s">
        <v>184</v>
      </c>
      <c r="D34" s="7" t="s">
        <v>173</v>
      </c>
      <c r="E34" s="8" t="s">
        <v>185</v>
      </c>
      <c r="F34" s="7" t="s">
        <v>186</v>
      </c>
      <c r="G34" s="9">
        <v>45</v>
      </c>
      <c r="H34" s="10">
        <v>130</v>
      </c>
      <c r="I34" s="11" t="s">
        <v>187</v>
      </c>
    </row>
    <row r="35" spans="1:9" ht="24" customHeight="1" x14ac:dyDescent="0.3">
      <c r="A35" s="2" t="s">
        <v>188</v>
      </c>
      <c r="B35" s="2" t="s">
        <v>189</v>
      </c>
      <c r="C35" s="3" t="s">
        <v>190</v>
      </c>
      <c r="D35" s="2" t="s">
        <v>173</v>
      </c>
      <c r="E35" s="3" t="s">
        <v>191</v>
      </c>
      <c r="F35" s="2" t="s">
        <v>192</v>
      </c>
      <c r="G35" s="4">
        <v>12</v>
      </c>
      <c r="H35" s="5">
        <v>300</v>
      </c>
      <c r="I35" s="6" t="s">
        <v>193</v>
      </c>
    </row>
    <row r="36" spans="1:9" ht="24" customHeight="1" x14ac:dyDescent="0.3">
      <c r="A36" s="7" t="s">
        <v>194</v>
      </c>
      <c r="B36" s="7" t="s">
        <v>195</v>
      </c>
      <c r="C36" s="8" t="s">
        <v>196</v>
      </c>
      <c r="D36" s="7" t="s">
        <v>173</v>
      </c>
      <c r="E36" s="8" t="s">
        <v>197</v>
      </c>
      <c r="F36" s="7" t="s">
        <v>198</v>
      </c>
      <c r="G36" s="9">
        <v>240</v>
      </c>
      <c r="H36" s="10">
        <v>35</v>
      </c>
      <c r="I36" s="11" t="s">
        <v>199</v>
      </c>
    </row>
    <row r="37" spans="1:9" ht="24" customHeight="1" x14ac:dyDescent="0.3">
      <c r="A37" s="2" t="s">
        <v>200</v>
      </c>
      <c r="B37" s="2" t="s">
        <v>201</v>
      </c>
      <c r="C37" s="3" t="s">
        <v>202</v>
      </c>
      <c r="D37" s="2" t="s">
        <v>173</v>
      </c>
      <c r="E37" s="3" t="s">
        <v>203</v>
      </c>
      <c r="F37" s="2" t="s">
        <v>22</v>
      </c>
      <c r="G37" s="4">
        <v>68</v>
      </c>
      <c r="H37" s="5">
        <v>55</v>
      </c>
      <c r="I37" s="6" t="s">
        <v>204</v>
      </c>
    </row>
    <row r="38" spans="1:9" ht="24" customHeight="1" x14ac:dyDescent="0.3">
      <c r="A38" s="7" t="s">
        <v>205</v>
      </c>
      <c r="B38" s="7" t="s">
        <v>206</v>
      </c>
      <c r="C38" s="8" t="s">
        <v>207</v>
      </c>
      <c r="D38" s="7" t="s">
        <v>208</v>
      </c>
      <c r="E38" s="8" t="s">
        <v>209</v>
      </c>
      <c r="F38" s="7" t="s">
        <v>210</v>
      </c>
      <c r="G38" s="9">
        <v>195</v>
      </c>
      <c r="H38" s="10">
        <v>40</v>
      </c>
      <c r="I38" s="11" t="s">
        <v>211</v>
      </c>
    </row>
    <row r="39" spans="1:9" ht="24" customHeight="1" x14ac:dyDescent="0.3">
      <c r="A39" s="2" t="s">
        <v>212</v>
      </c>
      <c r="B39" s="2" t="s">
        <v>213</v>
      </c>
      <c r="C39" s="3" t="s">
        <v>214</v>
      </c>
      <c r="D39" s="2" t="s">
        <v>208</v>
      </c>
      <c r="E39" s="3" t="s">
        <v>215</v>
      </c>
      <c r="F39" s="2" t="s">
        <v>16</v>
      </c>
      <c r="G39" s="4">
        <v>280</v>
      </c>
      <c r="H39" s="5">
        <v>30</v>
      </c>
      <c r="I39" s="6" t="s">
        <v>216</v>
      </c>
    </row>
    <row r="40" spans="1:9" ht="24" customHeight="1" x14ac:dyDescent="0.3">
      <c r="A40" s="7" t="s">
        <v>217</v>
      </c>
      <c r="B40" s="7" t="s">
        <v>218</v>
      </c>
      <c r="C40" s="8" t="s">
        <v>219</v>
      </c>
      <c r="D40" s="7" t="s">
        <v>208</v>
      </c>
      <c r="E40" s="8" t="s">
        <v>220</v>
      </c>
      <c r="F40" s="7" t="s">
        <v>22</v>
      </c>
      <c r="G40" s="9">
        <v>38</v>
      </c>
      <c r="H40" s="10">
        <v>120</v>
      </c>
      <c r="I40" s="11" t="s">
        <v>221</v>
      </c>
    </row>
    <row r="41" spans="1:9" ht="24" customHeight="1" x14ac:dyDescent="0.3">
      <c r="A41" s="2" t="s">
        <v>222</v>
      </c>
      <c r="B41" s="2" t="s">
        <v>223</v>
      </c>
      <c r="C41" s="3" t="s">
        <v>224</v>
      </c>
      <c r="D41" s="2" t="s">
        <v>208</v>
      </c>
      <c r="E41" s="3" t="s">
        <v>225</v>
      </c>
      <c r="F41" s="2" t="s">
        <v>22</v>
      </c>
      <c r="G41" s="4">
        <v>65</v>
      </c>
      <c r="H41" s="5">
        <v>85</v>
      </c>
      <c r="I41" s="6" t="s">
        <v>226</v>
      </c>
    </row>
    <row r="42" spans="1:9" ht="24" customHeight="1" x14ac:dyDescent="0.3">
      <c r="A42" s="7" t="s">
        <v>227</v>
      </c>
      <c r="B42" s="7" t="s">
        <v>228</v>
      </c>
      <c r="C42" s="8" t="s">
        <v>229</v>
      </c>
      <c r="D42" s="7" t="s">
        <v>208</v>
      </c>
      <c r="E42" s="8" t="s">
        <v>230</v>
      </c>
      <c r="F42" s="7" t="s">
        <v>83</v>
      </c>
      <c r="G42" s="9">
        <v>75</v>
      </c>
      <c r="H42" s="10">
        <v>60</v>
      </c>
      <c r="I42" s="11" t="s">
        <v>231</v>
      </c>
    </row>
    <row r="43" spans="1:9" ht="24" customHeight="1" x14ac:dyDescent="0.3">
      <c r="A43" s="2" t="s">
        <v>232</v>
      </c>
      <c r="B43" s="2" t="s">
        <v>233</v>
      </c>
      <c r="C43" s="3" t="s">
        <v>234</v>
      </c>
      <c r="D43" s="2" t="s">
        <v>235</v>
      </c>
      <c r="E43" s="3" t="s">
        <v>236</v>
      </c>
      <c r="F43" s="2" t="s">
        <v>237</v>
      </c>
      <c r="G43" s="4">
        <v>165</v>
      </c>
      <c r="H43" s="5">
        <v>65</v>
      </c>
      <c r="I43" s="6" t="s">
        <v>238</v>
      </c>
    </row>
    <row r="44" spans="1:9" ht="24" customHeight="1" x14ac:dyDescent="0.3">
      <c r="A44" s="7" t="s">
        <v>239</v>
      </c>
      <c r="B44" s="7" t="s">
        <v>240</v>
      </c>
      <c r="C44" s="8" t="s">
        <v>241</v>
      </c>
      <c r="D44" s="7" t="s">
        <v>235</v>
      </c>
      <c r="E44" s="8" t="s">
        <v>242</v>
      </c>
      <c r="F44" s="7" t="s">
        <v>243</v>
      </c>
      <c r="G44" s="9">
        <v>650</v>
      </c>
      <c r="H44" s="10">
        <v>25</v>
      </c>
      <c r="I44" s="11" t="s">
        <v>244</v>
      </c>
    </row>
    <row r="45" spans="1:9" ht="24" customHeight="1" x14ac:dyDescent="0.3">
      <c r="A45" s="2" t="s">
        <v>245</v>
      </c>
      <c r="B45" s="2" t="s">
        <v>246</v>
      </c>
      <c r="C45" s="3" t="s">
        <v>247</v>
      </c>
      <c r="D45" s="2" t="s">
        <v>235</v>
      </c>
      <c r="E45" s="3" t="s">
        <v>248</v>
      </c>
      <c r="F45" s="2" t="s">
        <v>249</v>
      </c>
      <c r="G45" s="4">
        <v>520</v>
      </c>
      <c r="H45" s="5">
        <v>20</v>
      </c>
      <c r="I45" s="6" t="s">
        <v>250</v>
      </c>
    </row>
    <row r="46" spans="1:9" ht="24" customHeight="1" x14ac:dyDescent="0.3">
      <c r="A46" s="7" t="s">
        <v>251</v>
      </c>
      <c r="B46" s="7" t="s">
        <v>252</v>
      </c>
      <c r="C46" s="8" t="s">
        <v>253</v>
      </c>
      <c r="D46" s="7" t="s">
        <v>235</v>
      </c>
      <c r="E46" s="8" t="s">
        <v>254</v>
      </c>
      <c r="F46" s="7" t="s">
        <v>255</v>
      </c>
      <c r="G46" s="9">
        <v>48</v>
      </c>
      <c r="H46" s="10">
        <v>140</v>
      </c>
      <c r="I46" s="11" t="s">
        <v>256</v>
      </c>
    </row>
    <row r="47" spans="1:9" ht="24" customHeight="1" x14ac:dyDescent="0.3">
      <c r="A47" s="2" t="s">
        <v>257</v>
      </c>
      <c r="B47" s="2" t="s">
        <v>258</v>
      </c>
      <c r="C47" s="3" t="s">
        <v>259</v>
      </c>
      <c r="D47" s="2" t="s">
        <v>235</v>
      </c>
      <c r="E47" s="3" t="s">
        <v>260</v>
      </c>
      <c r="F47" s="2" t="s">
        <v>22</v>
      </c>
      <c r="G47" s="4">
        <v>160</v>
      </c>
      <c r="H47" s="5">
        <v>45</v>
      </c>
      <c r="I47" s="6" t="s">
        <v>261</v>
      </c>
    </row>
    <row r="48" spans="1:9" ht="24" customHeight="1" x14ac:dyDescent="0.3">
      <c r="A48" s="7" t="s">
        <v>262</v>
      </c>
      <c r="B48" s="7" t="s">
        <v>263</v>
      </c>
      <c r="C48" s="8" t="s">
        <v>264</v>
      </c>
      <c r="D48" s="7" t="s">
        <v>235</v>
      </c>
      <c r="E48" s="8" t="s">
        <v>265</v>
      </c>
      <c r="F48" s="7" t="s">
        <v>266</v>
      </c>
      <c r="G48" s="9">
        <v>95</v>
      </c>
      <c r="H48" s="10">
        <v>50</v>
      </c>
      <c r="I48" s="11" t="s">
        <v>267</v>
      </c>
    </row>
    <row r="49" spans="1:9" ht="24" customHeight="1" x14ac:dyDescent="0.3">
      <c r="A49" s="2" t="s">
        <v>268</v>
      </c>
      <c r="B49" s="2" t="s">
        <v>269</v>
      </c>
      <c r="C49" s="3" t="s">
        <v>270</v>
      </c>
      <c r="D49" s="2" t="s">
        <v>271</v>
      </c>
      <c r="E49" s="3" t="s">
        <v>272</v>
      </c>
      <c r="F49" s="2" t="s">
        <v>273</v>
      </c>
      <c r="G49" s="4">
        <v>72</v>
      </c>
      <c r="H49" s="5">
        <v>80</v>
      </c>
      <c r="I49" s="6" t="s">
        <v>274</v>
      </c>
    </row>
    <row r="50" spans="1:9" ht="24" customHeight="1" x14ac:dyDescent="0.3">
      <c r="A50" s="7" t="s">
        <v>275</v>
      </c>
      <c r="B50" s="7" t="s">
        <v>276</v>
      </c>
      <c r="C50" s="8" t="s">
        <v>277</v>
      </c>
      <c r="D50" s="7" t="s">
        <v>271</v>
      </c>
      <c r="E50" s="8" t="s">
        <v>278</v>
      </c>
      <c r="F50" s="7" t="s">
        <v>279</v>
      </c>
      <c r="G50" s="9">
        <v>135</v>
      </c>
      <c r="H50" s="10">
        <v>110</v>
      </c>
      <c r="I50" s="11" t="s">
        <v>280</v>
      </c>
    </row>
    <row r="51" spans="1:9" ht="24" customHeight="1" x14ac:dyDescent="0.3">
      <c r="A51" s="2" t="s">
        <v>281</v>
      </c>
      <c r="B51" s="2" t="s">
        <v>282</v>
      </c>
      <c r="C51" s="3" t="s">
        <v>283</v>
      </c>
      <c r="D51" s="2" t="s">
        <v>271</v>
      </c>
      <c r="E51" s="3" t="s">
        <v>284</v>
      </c>
      <c r="F51" s="2" t="s">
        <v>22</v>
      </c>
      <c r="G51" s="4">
        <v>95</v>
      </c>
      <c r="H51" s="5">
        <v>95</v>
      </c>
      <c r="I51" s="6" t="s">
        <v>285</v>
      </c>
    </row>
    <row r="52" spans="1:9" ht="24" customHeight="1" x14ac:dyDescent="0.3">
      <c r="A52" s="7" t="s">
        <v>286</v>
      </c>
      <c r="B52" s="7" t="s">
        <v>287</v>
      </c>
      <c r="C52" s="8" t="s">
        <v>288</v>
      </c>
      <c r="D52" s="7" t="s">
        <v>271</v>
      </c>
      <c r="E52" s="8" t="s">
        <v>289</v>
      </c>
      <c r="F52" s="7" t="s">
        <v>22</v>
      </c>
      <c r="G52" s="9">
        <v>98</v>
      </c>
      <c r="H52" s="10">
        <v>75</v>
      </c>
      <c r="I52" s="11" t="s">
        <v>290</v>
      </c>
    </row>
    <row r="53" spans="1:9" ht="24" customHeight="1" x14ac:dyDescent="0.3">
      <c r="A53" s="2" t="s">
        <v>291</v>
      </c>
      <c r="B53" s="2" t="s">
        <v>292</v>
      </c>
      <c r="C53" s="3" t="s">
        <v>293</v>
      </c>
      <c r="D53" s="2" t="s">
        <v>271</v>
      </c>
      <c r="E53" s="3" t="s">
        <v>294</v>
      </c>
      <c r="F53" s="2" t="s">
        <v>255</v>
      </c>
      <c r="G53" s="4">
        <v>155</v>
      </c>
      <c r="H53" s="5">
        <v>40</v>
      </c>
      <c r="I53" s="6" t="s">
        <v>295</v>
      </c>
    </row>
    <row r="54" spans="1:9" ht="24" customHeight="1" x14ac:dyDescent="0.3">
      <c r="A54" s="7" t="s">
        <v>296</v>
      </c>
      <c r="B54" s="7" t="s">
        <v>297</v>
      </c>
      <c r="C54" s="8" t="s">
        <v>298</v>
      </c>
      <c r="D54" s="7" t="s">
        <v>271</v>
      </c>
      <c r="E54" s="8" t="s">
        <v>299</v>
      </c>
      <c r="F54" s="7" t="s">
        <v>22</v>
      </c>
      <c r="G54" s="9">
        <v>65</v>
      </c>
      <c r="H54" s="10">
        <v>120</v>
      </c>
      <c r="I54" s="11" t="s">
        <v>300</v>
      </c>
    </row>
    <row r="55" spans="1:9" ht="24" customHeight="1" x14ac:dyDescent="0.3">
      <c r="A55" s="2" t="s">
        <v>301</v>
      </c>
      <c r="B55" s="2" t="s">
        <v>302</v>
      </c>
      <c r="C55" s="3" t="s">
        <v>303</v>
      </c>
      <c r="D55" s="2" t="s">
        <v>271</v>
      </c>
      <c r="E55" s="3" t="s">
        <v>304</v>
      </c>
      <c r="F55" s="2" t="s">
        <v>22</v>
      </c>
      <c r="G55" s="4">
        <v>110</v>
      </c>
      <c r="H55" s="5">
        <v>85</v>
      </c>
      <c r="I55" s="6" t="s">
        <v>305</v>
      </c>
    </row>
    <row r="56" spans="1:9" ht="24" customHeight="1" x14ac:dyDescent="0.3">
      <c r="A56" s="7" t="s">
        <v>306</v>
      </c>
      <c r="B56" s="7" t="s">
        <v>307</v>
      </c>
      <c r="C56" s="8" t="s">
        <v>308</v>
      </c>
      <c r="D56" s="7" t="s">
        <v>271</v>
      </c>
      <c r="E56" s="8" t="s">
        <v>309</v>
      </c>
      <c r="F56" s="7" t="s">
        <v>22</v>
      </c>
      <c r="G56" s="9">
        <v>32</v>
      </c>
      <c r="H56" s="10">
        <v>90</v>
      </c>
      <c r="I56" s="11" t="s">
        <v>310</v>
      </c>
    </row>
    <row r="57" spans="1:9" ht="24" customHeight="1" x14ac:dyDescent="0.3">
      <c r="A57" s="12" t="s">
        <v>311</v>
      </c>
      <c r="B57" s="13"/>
      <c r="C57" s="13"/>
      <c r="D57" s="13"/>
      <c r="E57" s="13"/>
      <c r="F57" s="13"/>
      <c r="G57" s="14"/>
      <c r="H57" s="15">
        <f>SUM(H5:H56)</f>
        <v>4875</v>
      </c>
      <c r="I57" s="16" t="s">
        <v>312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8"/>
  <sheetViews>
    <sheetView tabSelected="1" workbookViewId="0">
      <selection sqref="A1:G1"/>
    </sheetView>
  </sheetViews>
  <sheetFormatPr baseColWidth="10" defaultColWidth="8.88671875" defaultRowHeight="14.4" x14ac:dyDescent="0.3"/>
  <cols>
    <col min="1" max="1" width="28" customWidth="1"/>
    <col min="2" max="2" width="18" customWidth="1"/>
    <col min="3" max="3" width="22" customWidth="1"/>
    <col min="4" max="4" width="24" customWidth="1"/>
    <col min="5" max="7" width="16" customWidth="1"/>
  </cols>
  <sheetData>
    <row r="1" spans="1:7" ht="21" x14ac:dyDescent="0.3">
      <c r="A1" s="23" t="s">
        <v>313</v>
      </c>
      <c r="B1" s="24"/>
      <c r="C1" s="24"/>
      <c r="D1" s="24"/>
      <c r="E1" s="24"/>
      <c r="F1" s="24"/>
      <c r="G1" s="24"/>
    </row>
    <row r="2" spans="1:7" x14ac:dyDescent="0.3">
      <c r="A2" s="25" t="s">
        <v>314</v>
      </c>
      <c r="B2" s="24"/>
      <c r="C2" s="24"/>
      <c r="D2" s="24"/>
      <c r="E2" s="24"/>
      <c r="F2" s="24"/>
      <c r="G2" s="24"/>
    </row>
    <row r="4" spans="1:7" ht="18" customHeight="1" x14ac:dyDescent="0.3">
      <c r="A4" s="26" t="s">
        <v>315</v>
      </c>
      <c r="B4" s="27"/>
      <c r="C4" s="26" t="s">
        <v>316</v>
      </c>
      <c r="D4" s="27"/>
      <c r="E4" s="26" t="s">
        <v>317</v>
      </c>
      <c r="F4" s="27"/>
      <c r="G4" s="27"/>
    </row>
    <row r="5" spans="1:7" ht="28.05" customHeight="1" x14ac:dyDescent="0.3">
      <c r="A5" s="30">
        <f>COUNTA('Catálogo de Productos'!A5:A56)</f>
        <v>52</v>
      </c>
      <c r="B5" s="27"/>
      <c r="C5" s="29">
        <f>SUM('Catálogo de Productos'!H5:H56)</f>
        <v>4875</v>
      </c>
      <c r="D5" s="27"/>
      <c r="E5" s="28">
        <f>SUMPRODUCT('Catálogo de Productos'!G5:G56, 'Catálogo de Productos'!H5:H56)</f>
        <v>317410</v>
      </c>
      <c r="F5" s="27"/>
      <c r="G5" s="27"/>
    </row>
    <row r="8" spans="1:7" ht="24" customHeight="1" x14ac:dyDescent="0.3">
      <c r="A8" s="1" t="s">
        <v>318</v>
      </c>
      <c r="B8" s="1" t="s">
        <v>319</v>
      </c>
      <c r="C8" s="1" t="s">
        <v>320</v>
      </c>
      <c r="D8" s="1" t="s">
        <v>321</v>
      </c>
    </row>
    <row r="9" spans="1:7" ht="19.95" customHeight="1" x14ac:dyDescent="0.3">
      <c r="A9" s="17" t="s">
        <v>14</v>
      </c>
      <c r="B9" s="18">
        <f>COUNTIF('Catálogo de Productos'!$D$5:$D$56, A9)</f>
        <v>6</v>
      </c>
      <c r="C9" s="5">
        <f>SUMIF('Catálogo de Productos'!$D$5:$D$56, A9, 'Catálogo de Productos'!$H$5:$H$56)</f>
        <v>630</v>
      </c>
      <c r="D9" s="4">
        <f>AVERAGEIF('Catálogo de Productos'!$D$5:$D$56, A9, 'Catálogo de Productos'!$G$5:$G$56)</f>
        <v>39.25</v>
      </c>
    </row>
    <row r="10" spans="1:7" ht="19.95" customHeight="1" x14ac:dyDescent="0.3">
      <c r="A10" s="19" t="s">
        <v>322</v>
      </c>
      <c r="B10" s="20">
        <f>COUNTIF('Catálogo de Productos'!$D$5:$D$56, A10)</f>
        <v>5</v>
      </c>
      <c r="C10" s="10">
        <f>SUMIF('Catálogo de Productos'!$D$5:$D$56, A10, 'Catálogo de Productos'!$H$5:$H$56)</f>
        <v>215</v>
      </c>
      <c r="D10" s="9">
        <f>AVERAGEIF('Catálogo de Productos'!$D$5:$D$56, A10, 'Catálogo de Productos'!$G$5:$G$56)</f>
        <v>130.6</v>
      </c>
    </row>
    <row r="11" spans="1:7" ht="19.95" customHeight="1" x14ac:dyDescent="0.3">
      <c r="A11" s="17" t="s">
        <v>323</v>
      </c>
      <c r="B11" s="18">
        <f>COUNTIF('Catálogo de Productos'!$D$5:$D$56, A11)</f>
        <v>6</v>
      </c>
      <c r="C11" s="5">
        <f>SUMIF('Catálogo de Productos'!$D$5:$D$56, A11, 'Catálogo de Productos'!$H$5:$H$56)</f>
        <v>310</v>
      </c>
      <c r="D11" s="4">
        <f>AVERAGEIF('Catálogo de Productos'!$D$5:$D$56, A11, 'Catálogo de Productos'!$G$5:$G$56)</f>
        <v>173</v>
      </c>
    </row>
    <row r="12" spans="1:7" ht="19.95" customHeight="1" x14ac:dyDescent="0.3">
      <c r="A12" s="19" t="s">
        <v>324</v>
      </c>
      <c r="B12" s="20">
        <f>COUNTIF('Catálogo de Productos'!$D$5:$D$56, A12)</f>
        <v>6</v>
      </c>
      <c r="C12" s="10">
        <f>SUMIF('Catálogo de Productos'!$D$5:$D$56, A12, 'Catálogo de Productos'!$H$5:$H$56)</f>
        <v>930</v>
      </c>
      <c r="D12" s="9">
        <f>AVERAGEIF('Catálogo de Productos'!$D$5:$D$56, A12, 'Catálogo de Productos'!$G$5:$G$56)</f>
        <v>77.583333333333329</v>
      </c>
    </row>
    <row r="13" spans="1:7" ht="19.95" customHeight="1" x14ac:dyDescent="0.3">
      <c r="A13" s="17" t="s">
        <v>325</v>
      </c>
      <c r="B13" s="18">
        <f>COUNTIF('Catálogo de Productos'!$D$5:$D$56, A13)</f>
        <v>4</v>
      </c>
      <c r="C13" s="5">
        <f>SUMIF('Catálogo de Productos'!$D$5:$D$56, A13, 'Catálogo de Productos'!$H$5:$H$56)</f>
        <v>625</v>
      </c>
      <c r="D13" s="4">
        <f>AVERAGEIF('Catálogo de Productos'!$D$5:$D$56, A13, 'Catálogo de Productos'!$G$5:$G$56)</f>
        <v>53.875</v>
      </c>
    </row>
    <row r="14" spans="1:7" ht="19.95" customHeight="1" x14ac:dyDescent="0.3">
      <c r="A14" s="19" t="s">
        <v>326</v>
      </c>
      <c r="B14" s="20">
        <f>COUNTIF('Catálogo de Productos'!$D$5:$D$56, A14)</f>
        <v>6</v>
      </c>
      <c r="C14" s="10">
        <f>SUMIF('Catálogo de Productos'!$D$5:$D$56, A14, 'Catálogo de Productos'!$H$5:$H$56)</f>
        <v>790</v>
      </c>
      <c r="D14" s="9">
        <f>AVERAGEIF('Catálogo de Productos'!$D$5:$D$56, A14, 'Catálogo de Productos'!$G$5:$G$56)</f>
        <v>88.666666666666671</v>
      </c>
    </row>
    <row r="15" spans="1:7" ht="19.95" customHeight="1" x14ac:dyDescent="0.3">
      <c r="A15" s="17" t="s">
        <v>208</v>
      </c>
      <c r="B15" s="18">
        <f>COUNTIF('Catálogo de Productos'!$D$5:$D$56, A15)</f>
        <v>5</v>
      </c>
      <c r="C15" s="5">
        <f>SUMIF('Catálogo de Productos'!$D$5:$D$56, A15, 'Catálogo de Productos'!$H$5:$H$56)</f>
        <v>335</v>
      </c>
      <c r="D15" s="4">
        <f>AVERAGEIF('Catálogo de Productos'!$D$5:$D$56, A15, 'Catálogo de Productos'!$G$5:$G$56)</f>
        <v>130.6</v>
      </c>
    </row>
    <row r="16" spans="1:7" ht="19.95" customHeight="1" x14ac:dyDescent="0.3">
      <c r="A16" s="19" t="s">
        <v>235</v>
      </c>
      <c r="B16" s="20">
        <f>COUNTIF('Catálogo de Productos'!$D$5:$D$56, A16)</f>
        <v>6</v>
      </c>
      <c r="C16" s="10">
        <f>SUMIF('Catálogo de Productos'!$D$5:$D$56, A16, 'Catálogo de Productos'!$H$5:$H$56)</f>
        <v>345</v>
      </c>
      <c r="D16" s="9">
        <f>AVERAGEIF('Catálogo de Productos'!$D$5:$D$56, A16, 'Catálogo de Productos'!$G$5:$G$56)</f>
        <v>273</v>
      </c>
    </row>
    <row r="17" spans="1:4" ht="19.95" customHeight="1" x14ac:dyDescent="0.3">
      <c r="A17" s="17" t="s">
        <v>271</v>
      </c>
      <c r="B17" s="18">
        <f>COUNTIF('Catálogo de Productos'!$D$5:$D$56, A17)</f>
        <v>8</v>
      </c>
      <c r="C17" s="5">
        <f>SUMIF('Catálogo de Productos'!$D$5:$D$56, A17, 'Catálogo de Productos'!$H$5:$H$56)</f>
        <v>695</v>
      </c>
      <c r="D17" s="4">
        <f>AVERAGEIF('Catálogo de Productos'!$D$5:$D$56, A17, 'Catálogo de Productos'!$G$5:$G$56)</f>
        <v>95.25</v>
      </c>
    </row>
    <row r="18" spans="1:4" x14ac:dyDescent="0.3">
      <c r="A18" s="21" t="s">
        <v>327</v>
      </c>
      <c r="B18" s="22">
        <f>SUM(B9:B17)</f>
        <v>52</v>
      </c>
      <c r="C18" s="15">
        <f>SUM(C9:C17)</f>
        <v>4875</v>
      </c>
      <c r="D18" s="14">
        <f>AVERAGE(D9:D17)</f>
        <v>117.98055555555555</v>
      </c>
    </row>
  </sheetData>
  <mergeCells count="8">
    <mergeCell ref="A4:B4"/>
    <mergeCell ref="A1:G1"/>
    <mergeCell ref="E5:G5"/>
    <mergeCell ref="C5:D5"/>
    <mergeCell ref="A5:B5"/>
    <mergeCell ref="A2:G2"/>
    <mergeCell ref="E4:G4"/>
    <mergeCell ref="C4:D4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Catálogo de Productos</vt:lpstr>
      <vt:lpstr>Dashboard 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ALFONSO CEDILLO PEREZ</cp:lastModifiedBy>
  <dcterms:created xsi:type="dcterms:W3CDTF">2026-08-19T04:58:36Z</dcterms:created>
  <dcterms:modified xsi:type="dcterms:W3CDTF">2026-08-19T05:11:51Z</dcterms:modified>
</cp:coreProperties>
</file>